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estl\PycharmProjects\pythonProject\venv_vf\Macquarie\"/>
    </mc:Choice>
  </mc:AlternateContent>
  <xr:revisionPtr revIDLastSave="0" documentId="13_ncr:1_{08FACCFC-7ABE-40B6-8F12-B656674B2330}" xr6:coauthVersionLast="47" xr6:coauthVersionMax="47" xr10:uidLastSave="{00000000-0000-0000-0000-000000000000}"/>
  <bookViews>
    <workbookView xWindow="4080" yWindow="912" windowWidth="17280" windowHeight="11328" firstSheet="5" activeTab="7" xr2:uid="{00000000-000D-0000-FFFF-FFFF00000000}"/>
  </bookViews>
  <sheets>
    <sheet name="Instructions" sheetId="1" r:id="rId1"/>
    <sheet name="Asset_Universe" sheetId="2" r:id="rId2"/>
    <sheet name="Pairs_Definition" sheetId="3" r:id="rId3"/>
    <sheet name="Views_Timeline" sheetId="4" r:id="rId4"/>
    <sheet name="Portfolio_Constraints" sheetId="5" r:id="rId5"/>
    <sheet name="Model_Config" sheetId="6" r:id="rId6"/>
    <sheet name="Benchmark_Weights" sheetId="7" r:id="rId7"/>
    <sheet name="Actual_por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<sst xmlns="http://schemas.openxmlformats.org/spreadsheetml/2006/main" count="427" uniqueCount="212">
  <si>
    <t>📚 Black-Litterman Model Master Configuration</t>
  </si>
  <si>
    <t>이 엑셀 파일은 Black-Litterman 모델의 모든 설정을 관리합니다.</t>
  </si>
  <si>
    <t>📋 시트 설명:</t>
  </si>
  <si>
    <t>1. Asset_Universe: 투자 가능한 모든 자산 정의</t>
  </si>
  <si>
    <t>2. Pairs_Definition: 페어 트레이드 전략 정의</t>
  </si>
  <si>
    <t>3. Views_Timeline: 시간별 투자 견해 관리</t>
  </si>
  <si>
    <t>4. Portfolio_Constraints: 포트폴리오 제약조건</t>
  </si>
  <si>
    <t>5. Model_Config: 모델 파라미터 설정</t>
  </si>
  <si>
    <t>6. Benchmark_Weights: 벤치마크 구성</t>
  </si>
  <si>
    <t>✏️ 사용 방법:</t>
  </si>
  <si>
    <t>1. Asset_Universe에서 Active=Yes로 사용할 자산 선택</t>
  </si>
  <si>
    <t>2. Pairs_Definition에서 페어 전략 정의</t>
  </si>
  <si>
    <t>3. Views_Timeline에서 투자 견해 입력</t>
  </si>
  <si>
    <t xml:space="preserve">   - Signal: 1(Long), 0(Neutral), -1(Short)</t>
  </si>
  <si>
    <t xml:space="preserve">   - Conviction: 0~1 사이 확신도</t>
  </si>
  <si>
    <t>4. Python 코드 실행으로 최적화 수행</t>
  </si>
  <si>
    <t>⚠️ 주의사항:</t>
  </si>
  <si>
    <t>- 날짜 형식: YYYY-MM-DD</t>
  </si>
  <si>
    <t>- 벤치마크 가중치 합 = 100%</t>
  </si>
  <si>
    <t>- Asset_ID와 Pair_ID 정확히 입력</t>
  </si>
  <si>
    <t>Asset_ID</t>
  </si>
  <si>
    <t>Asset_Name</t>
  </si>
  <si>
    <t>Asset_Class</t>
  </si>
  <si>
    <t>Active</t>
  </si>
  <si>
    <t>A001</t>
  </si>
  <si>
    <t>Yes</t>
  </si>
  <si>
    <t>A002</t>
  </si>
  <si>
    <t>A003</t>
  </si>
  <si>
    <t>A004</t>
  </si>
  <si>
    <t>A005</t>
  </si>
  <si>
    <t>A006</t>
  </si>
  <si>
    <t>A007</t>
  </si>
  <si>
    <t>Fixed Income</t>
  </si>
  <si>
    <t>A008</t>
  </si>
  <si>
    <t>A009</t>
  </si>
  <si>
    <t>WTI Oil</t>
  </si>
  <si>
    <t>Commodity</t>
  </si>
  <si>
    <t>A010</t>
  </si>
  <si>
    <t>Pair_ID</t>
  </si>
  <si>
    <t>Pair_Name</t>
  </si>
  <si>
    <t>Long_Asset_ID</t>
  </si>
  <si>
    <t>Short_Asset_ID</t>
  </si>
  <si>
    <t>Category</t>
  </si>
  <si>
    <t>P001</t>
  </si>
  <si>
    <t>P002</t>
  </si>
  <si>
    <t>Regional</t>
  </si>
  <si>
    <t>P003</t>
  </si>
  <si>
    <t>P004</t>
  </si>
  <si>
    <t>P005</t>
  </si>
  <si>
    <t>P006</t>
  </si>
  <si>
    <t>View_ID</t>
  </si>
  <si>
    <t>Date</t>
  </si>
  <si>
    <t>Signal</t>
  </si>
  <si>
    <t>Conviction</t>
  </si>
  <si>
    <t>Catalyst</t>
  </si>
  <si>
    <t>Status</t>
  </si>
  <si>
    <t>V001</t>
  </si>
  <si>
    <t>V002</t>
  </si>
  <si>
    <t>V003</t>
  </si>
  <si>
    <t>V004</t>
  </si>
  <si>
    <t>V005</t>
  </si>
  <si>
    <t>V006</t>
  </si>
  <si>
    <t>Min_Weight</t>
  </si>
  <si>
    <t>Max_Weight</t>
  </si>
  <si>
    <t>Parameter</t>
  </si>
  <si>
    <t>Value</t>
  </si>
  <si>
    <t>Description</t>
  </si>
  <si>
    <t>Tracking_Error_Target</t>
  </si>
  <si>
    <t>Maximum tracking error vs benchmark</t>
  </si>
  <si>
    <t>Turnover_Penalty</t>
  </si>
  <si>
    <t>Transaction cost penalty</t>
  </si>
  <si>
    <t>Shrinkage_Low</t>
  </si>
  <si>
    <t>Shrinkage in calm regime</t>
  </si>
  <si>
    <t>Shrinkage_High</t>
  </si>
  <si>
    <t>Shrinkage in stressed regime</t>
  </si>
  <si>
    <t>Correlation_Spillover</t>
  </si>
  <si>
    <t>Spillover strength (eta)</t>
  </si>
  <si>
    <t>EWMA_Halflife</t>
  </si>
  <si>
    <t>EWMA half-life (days)</t>
  </si>
  <si>
    <t>Min_History_Days</t>
  </si>
  <si>
    <t>Minimum data required</t>
  </si>
  <si>
    <t>Rebalance_Frequency</t>
  </si>
  <si>
    <t>Monthly</t>
  </si>
  <si>
    <t>Rebalancing frequency</t>
  </si>
  <si>
    <t>Confidence_Decay</t>
  </si>
  <si>
    <t>Exponential</t>
  </si>
  <si>
    <t>View decay function</t>
  </si>
  <si>
    <t>Weight</t>
  </si>
  <si>
    <t>P007</t>
    <phoneticPr fontId="2" type="noConversion"/>
  </si>
  <si>
    <t>A009</t>
    <phoneticPr fontId="2" type="noConversion"/>
  </si>
  <si>
    <t>V007</t>
    <phoneticPr fontId="2" type="noConversion"/>
  </si>
  <si>
    <t>Start_Date</t>
    <phoneticPr fontId="2" type="noConversion"/>
  </si>
  <si>
    <t>End_Date</t>
    <phoneticPr fontId="2" type="noConversion"/>
  </si>
  <si>
    <t>EURUSD Curncy</t>
  </si>
  <si>
    <t>FX</t>
    <phoneticPr fontId="2" type="noConversion"/>
  </si>
  <si>
    <t>Euro</t>
    <phoneticPr fontId="2" type="noConversion"/>
  </si>
  <si>
    <t>Gold</t>
    <phoneticPr fontId="2" type="noConversion"/>
  </si>
  <si>
    <t>Cooper</t>
    <phoneticPr fontId="2" type="noConversion"/>
  </si>
  <si>
    <t>HG1 Comdty</t>
    <phoneticPr fontId="2" type="noConversion"/>
  </si>
  <si>
    <t>JPY</t>
    <phoneticPr fontId="2" type="noConversion"/>
  </si>
  <si>
    <t>TU1 Comdty</t>
    <phoneticPr fontId="2" type="noConversion"/>
  </si>
  <si>
    <t>US Treasury 2Y</t>
    <phoneticPr fontId="2" type="noConversion"/>
  </si>
  <si>
    <t>US Treasury 10Y</t>
    <phoneticPr fontId="2" type="noConversion"/>
  </si>
  <si>
    <t>German Bund 2Y</t>
    <phoneticPr fontId="2" type="noConversion"/>
  </si>
  <si>
    <t>German Bund 10Y</t>
    <phoneticPr fontId="2" type="noConversion"/>
  </si>
  <si>
    <t>DU1 Comdty</t>
    <phoneticPr fontId="2" type="noConversion"/>
  </si>
  <si>
    <t>UK Bond 10Y</t>
    <phoneticPr fontId="2" type="noConversion"/>
  </si>
  <si>
    <t>G 1 Comdty</t>
    <phoneticPr fontId="2" type="noConversion"/>
  </si>
  <si>
    <t>A010</t>
    <phoneticPr fontId="2" type="noConversion"/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</si>
  <si>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</si>
  <si>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</si>
  <si>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</si>
  <si>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</si>
  <si>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</si>
  <si>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</si>
  <si>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</si>
  <si>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</si>
  <si>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</si>
  <si>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</si>
  <si>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US Equity</t>
    <phoneticPr fontId="2" type="noConversion"/>
  </si>
  <si>
    <t>SPX Index</t>
    <phoneticPr fontId="2" type="noConversion"/>
  </si>
  <si>
    <t>Equity</t>
    <phoneticPr fontId="2" type="noConversion"/>
  </si>
  <si>
    <t>SX5E Index</t>
    <phoneticPr fontId="2" type="noConversion"/>
  </si>
  <si>
    <t>SXXP Index</t>
    <phoneticPr fontId="2" type="noConversion"/>
  </si>
  <si>
    <t>US Tech</t>
    <phoneticPr fontId="2" type="noConversion"/>
  </si>
  <si>
    <t>NDX Index</t>
    <phoneticPr fontId="2" type="noConversion"/>
  </si>
  <si>
    <t>US Dow</t>
    <phoneticPr fontId="2" type="noConversion"/>
  </si>
  <si>
    <t>Japan Equity</t>
    <phoneticPr fontId="2" type="noConversion"/>
  </si>
  <si>
    <t>NKY Index</t>
    <phoneticPr fontId="2" type="noConversion"/>
  </si>
  <si>
    <t>US Small</t>
    <phoneticPr fontId="2" type="noConversion"/>
  </si>
  <si>
    <t>RTY Index</t>
    <phoneticPr fontId="2" type="noConversion"/>
  </si>
  <si>
    <t>A021</t>
  </si>
  <si>
    <t>A021</t>
    <phoneticPr fontId="2" type="noConversion"/>
  </si>
  <si>
    <t>SHSZ300 Index</t>
    <phoneticPr fontId="3" type="noConversion"/>
  </si>
  <si>
    <t>HSTECH Index</t>
    <phoneticPr fontId="3" type="noConversion"/>
  </si>
  <si>
    <t>A022</t>
  </si>
  <si>
    <t>A022</t>
    <phoneticPr fontId="2" type="noConversion"/>
  </si>
  <si>
    <t>US Treasury 5Y</t>
    <phoneticPr fontId="2" type="noConversion"/>
  </si>
  <si>
    <t>FV1 Comdty</t>
    <phoneticPr fontId="2" type="noConversion"/>
  </si>
  <si>
    <t>US Treasury 30Y</t>
    <phoneticPr fontId="2" type="noConversion"/>
  </si>
  <si>
    <t>WN1 Comdty</t>
    <phoneticPr fontId="2" type="noConversion"/>
  </si>
  <si>
    <t>Cash</t>
    <phoneticPr fontId="2" type="noConversion"/>
  </si>
  <si>
    <t>Yes</t>
    <phoneticPr fontId="2" type="noConversion"/>
  </si>
  <si>
    <t>A001</t>
    <phoneticPr fontId="2" type="noConversion"/>
  </si>
  <si>
    <t>A004</t>
    <phoneticPr fontId="2" type="noConversion"/>
  </si>
  <si>
    <t>A008</t>
    <phoneticPr fontId="2" type="noConversion"/>
  </si>
  <si>
    <t>Commodity</t>
    <phoneticPr fontId="2" type="noConversion"/>
  </si>
  <si>
    <t>A007</t>
    <phoneticPr fontId="2" type="noConversion"/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</si>
  <si>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</si>
  <si>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</si>
  <si>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</si>
  <si>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</si>
  <si>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</si>
  <si>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</si>
  <si>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</si>
  <si>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</si>
  <si>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</si>
  <si>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</si>
  <si>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</si>
  <si>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US_Germany</t>
    <phoneticPr fontId="2" type="noConversion"/>
  </si>
  <si>
    <t>US_Curve</t>
    <phoneticPr fontId="2" type="noConversion"/>
  </si>
  <si>
    <t>Curve</t>
    <phoneticPr fontId="2" type="noConversion"/>
  </si>
  <si>
    <t>A011</t>
    <phoneticPr fontId="2" type="noConversion"/>
  </si>
  <si>
    <t>A012</t>
    <phoneticPr fontId="2" type="noConversion"/>
  </si>
  <si>
    <t>US_UK</t>
    <phoneticPr fontId="2" type="noConversion"/>
  </si>
  <si>
    <t>A013</t>
    <phoneticPr fontId="2" type="noConversion"/>
  </si>
  <si>
    <t>A014</t>
    <phoneticPr fontId="2" type="noConversion"/>
  </si>
  <si>
    <t>SPX/Stoxx</t>
    <phoneticPr fontId="2" type="noConversion"/>
  </si>
  <si>
    <t>SPX/Stoxx600</t>
    <phoneticPr fontId="2" type="noConversion"/>
  </si>
  <si>
    <t>A015</t>
    <phoneticPr fontId="2" type="noConversion"/>
  </si>
  <si>
    <t>Tech</t>
    <phoneticPr fontId="2" type="noConversion"/>
  </si>
  <si>
    <t>A016</t>
    <phoneticPr fontId="2" type="noConversion"/>
  </si>
  <si>
    <t>A017</t>
    <phoneticPr fontId="2" type="noConversion"/>
  </si>
  <si>
    <t>A023</t>
  </si>
  <si>
    <t>A023</t>
    <phoneticPr fontId="2" type="noConversion"/>
  </si>
  <si>
    <t>MSCI_World</t>
    <phoneticPr fontId="2" type="noConversion"/>
  </si>
  <si>
    <t>MXWD Index</t>
    <phoneticPr fontId="2" type="noConversion"/>
  </si>
  <si>
    <t>JP_Equity</t>
    <phoneticPr fontId="2" type="noConversion"/>
  </si>
  <si>
    <t>A018</t>
    <phoneticPr fontId="2" type="noConversion"/>
  </si>
  <si>
    <t>Reverse</t>
    <phoneticPr fontId="2" type="noConversion"/>
  </si>
  <si>
    <t>A019</t>
    <phoneticPr fontId="2" type="noConversion"/>
  </si>
  <si>
    <t>China</t>
    <phoneticPr fontId="2" type="noConversion"/>
  </si>
  <si>
    <t>A020</t>
    <phoneticPr fontId="2" type="noConversion"/>
  </si>
  <si>
    <t>China_Tech</t>
    <phoneticPr fontId="2" type="noConversion"/>
  </si>
  <si>
    <t>UST</t>
    <phoneticPr fontId="2" type="noConversion"/>
  </si>
  <si>
    <t>P007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</si>
  <si>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</si>
  <si>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</si>
  <si>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</si>
  <si>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</si>
  <si>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</si>
  <si>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</si>
  <si>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</si>
  <si>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</si>
  <si>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</si>
  <si>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</si>
  <si>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</si>
  <si>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CL1 Comdty</t>
    <phoneticPr fontId="2" type="noConversion"/>
  </si>
  <si>
    <t>TY1 Comdty</t>
    <phoneticPr fontId="2" type="noConversion"/>
  </si>
  <si>
    <t>RX1 Comdty</t>
    <phoneticPr fontId="2" type="noConversion"/>
  </si>
  <si>
    <t>DJI Index</t>
    <phoneticPr fontId="2" type="noConversion"/>
  </si>
  <si>
    <t>XAU Curncy</t>
  </si>
  <si>
    <t>China_Equity</t>
    <phoneticPr fontId="2" type="noConversion"/>
  </si>
  <si>
    <t>Europe Stoxx50</t>
    <phoneticPr fontId="2" type="noConversion"/>
  </si>
  <si>
    <t>Europe Stoxx600</t>
    <phoneticPr fontId="2" type="noConversion"/>
  </si>
  <si>
    <t>Size</t>
    <phoneticPr fontId="2" type="noConversion"/>
  </si>
  <si>
    <t>Long_Price</t>
    <phoneticPr fontId="2" type="noConversion"/>
  </si>
  <si>
    <t>Short_Price</t>
    <phoneticPr fontId="2" type="noConversion"/>
  </si>
  <si>
    <t>End_Long_Price</t>
    <phoneticPr fontId="2" type="noConversion"/>
  </si>
  <si>
    <t>End_Short_Price</t>
    <phoneticPr fontId="2" type="noConversion"/>
  </si>
  <si>
    <t>Bloomberg_Ticker</t>
    <phoneticPr fontId="2" type="noConversion"/>
  </si>
  <si>
    <t>JPYUSD Curncy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</si>
</sst>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workbookViewId="0">
      <selection activeCell="A24" sqref="A24"/>
    </sheetView>
  </sheetViews>
  <sheetFormatPr defaultRowHeight="17.399999999999999" x14ac:dyDescent="0.4"/>
  <cols>
    <col min="1" max="1" width="80" customWidth="1"/>
  </cols>
  <sheetData>
    <row r="1" spans="1:1" x14ac:dyDescent="0.4">
      <c r="A1" t="s">
        <v>0</v>
      </c>
    </row>
    <row r="3" spans="1:1" x14ac:dyDescent="0.4">
      <c r="A3" t="s">
        <v>1</v>
      </c>
    </row>
    <row r="5" spans="1:1" x14ac:dyDescent="0.4">
      <c r="A5" t="s">
        <v>2</v>
      </c>
    </row>
    <row r="6" spans="1:1" x14ac:dyDescent="0.4">
      <c r="A6" t="s">
        <v>3</v>
      </c>
    </row>
    <row r="7" spans="1:1" x14ac:dyDescent="0.4">
      <c r="A7" t="s">
        <v>4</v>
      </c>
    </row>
    <row r="8" spans="1:1" x14ac:dyDescent="0.4">
      <c r="A8" t="s">
        <v>5</v>
      </c>
    </row>
    <row r="9" spans="1:1" x14ac:dyDescent="0.4">
      <c r="A9" t="s">
        <v>6</v>
      </c>
    </row>
    <row r="10" spans="1:1" x14ac:dyDescent="0.4">
      <c r="A10" t="s">
        <v>7</v>
      </c>
    </row>
    <row r="11" spans="1:1" x14ac:dyDescent="0.4">
      <c r="A11" t="s">
        <v>8</v>
      </c>
    </row>
    <row r="13" spans="1:1" x14ac:dyDescent="0.4">
      <c r="A13" t="s">
        <v>9</v>
      </c>
    </row>
    <row r="14" spans="1:1" x14ac:dyDescent="0.4">
      <c r="A14" t="s">
        <v>10</v>
      </c>
    </row>
    <row r="15" spans="1:1" x14ac:dyDescent="0.4">
      <c r="A15" t="s">
        <v>11</v>
      </c>
    </row>
    <row r="16" spans="1:1" x14ac:dyDescent="0.4">
      <c r="A16" t="s">
        <v>12</v>
      </c>
    </row>
    <row r="17" spans="1:1" x14ac:dyDescent="0.4">
      <c r="A17" t="s">
        <v>13</v>
      </c>
    </row>
    <row r="18" spans="1:1" x14ac:dyDescent="0.4">
      <c r="A18" t="s">
        <v>14</v>
      </c>
    </row>
    <row r="19" spans="1:1" x14ac:dyDescent="0.4">
      <c r="A19" t="s">
        <v>15</v>
      </c>
    </row>
    <row r="21" spans="1:1" x14ac:dyDescent="0.4">
      <c r="A21" t="s">
        <v>16</v>
      </c>
    </row>
    <row r="22" spans="1:1" x14ac:dyDescent="0.4">
      <c r="A22" t="s">
        <v>17</v>
      </c>
    </row>
    <row r="23" spans="1:1" x14ac:dyDescent="0.4">
      <c r="A23" t="s">
        <v>18</v>
      </c>
    </row>
    <row r="24" spans="1:1" x14ac:dyDescent="0.4">
      <c r="A24" t="s">
        <v>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selection activeCell="C7" sqref="C7"/>
    </sheetView>
  </sheetViews>
  <sheetFormatPr defaultRowHeight="17.399999999999999" x14ac:dyDescent="0.4"/>
  <cols>
    <col min="2" max="2" width="18.19921875" customWidth="1"/>
    <col min="3" max="3" width="16.796875" customWidth="1"/>
  </cols>
  <sheetData>
    <row r="1" spans="1:5" x14ac:dyDescent="0.4">
      <c r="A1" s="1" t="s">
        <v>20</v>
      </c>
      <c r="B1" s="1" t="s">
        <v>21</v>
      </c>
      <c r="C1" s="1" t="s">
        <v>210</v>
      </c>
      <c r="D1" s="1" t="s">
        <v>22</v>
      </c>
      <c r="E1" s="1" t="s">
        <v>23</v>
      </c>
    </row>
    <row r="2" spans="1:5" x14ac:dyDescent="0.4">
      <c r="A2" t="s">
        <v>24</v>
      </c>
      <c r="B2" t="s">
        <v>95</v>
      </c>
      <c r="C2" t="s">
        <v>93</v>
      </c>
      <c r="D2" t="s">
        <v>94</v>
      </c>
      <c r="E2" t="s">
        <v>25</v>
      </c>
    </row>
    <row r="3" spans="1:5" x14ac:dyDescent="0.4">
      <c r="A3" t="s">
        <v>26</v>
      </c>
      <c r="B3" t="s">
        <v>96</v>
      </c>
      <c r="C3" s="3" t="s">
        <v>201</v>
      </c>
      <c r="D3" t="s">
        <v>36</v>
      </c>
      <c r="E3" t="s">
        <v>25</v>
      </c>
    </row>
    <row r="4" spans="1:5" x14ac:dyDescent="0.4">
      <c r="A4" t="s">
        <v>27</v>
      </c>
      <c r="B4" t="s">
        <v>35</v>
      </c>
      <c r="C4" t="s">
        <v>197</v>
      </c>
      <c r="D4" t="s">
        <v>36</v>
      </c>
      <c r="E4" t="s">
        <v>25</v>
      </c>
    </row>
    <row r="5" spans="1:5" x14ac:dyDescent="0.4">
      <c r="A5" t="s">
        <v>28</v>
      </c>
      <c r="B5" t="s">
        <v>97</v>
      </c>
      <c r="C5" t="s">
        <v>98</v>
      </c>
      <c r="D5" t="s">
        <v>36</v>
      </c>
      <c r="E5" t="s">
        <v>25</v>
      </c>
    </row>
    <row r="6" spans="1:5" x14ac:dyDescent="0.4">
      <c r="A6" t="s">
        <v>29</v>
      </c>
      <c r="B6" t="s">
        <v>99</v>
      </c>
      <c r="C6" t="s">
        <v>211</v>
      </c>
      <c r="D6" t="s">
        <v>94</v>
      </c>
      <c r="E6" t="s">
        <v>25</v>
      </c>
    </row>
    <row r="7" spans="1:5" x14ac:dyDescent="0.4">
      <c r="A7" t="s">
        <v>30</v>
      </c>
      <c r="B7" t="s">
        <v>101</v>
      </c>
      <c r="C7" t="s">
        <v>100</v>
      </c>
      <c r="D7" t="s">
        <v>32</v>
      </c>
      <c r="E7" t="s">
        <v>25</v>
      </c>
    </row>
    <row r="8" spans="1:5" x14ac:dyDescent="0.4">
      <c r="A8" t="s">
        <v>31</v>
      </c>
      <c r="B8" t="s">
        <v>102</v>
      </c>
      <c r="C8" t="s">
        <v>198</v>
      </c>
      <c r="D8" t="s">
        <v>32</v>
      </c>
      <c r="E8" t="s">
        <v>25</v>
      </c>
    </row>
    <row r="9" spans="1:5" x14ac:dyDescent="0.4">
      <c r="A9" t="s">
        <v>33</v>
      </c>
      <c r="B9" t="s">
        <v>137</v>
      </c>
      <c r="C9" t="s">
        <v>138</v>
      </c>
      <c r="D9" t="s">
        <v>32</v>
      </c>
      <c r="E9" t="s">
        <v>25</v>
      </c>
    </row>
    <row r="10" spans="1:5" x14ac:dyDescent="0.4">
      <c r="A10" t="s">
        <v>34</v>
      </c>
      <c r="B10" t="s">
        <v>139</v>
      </c>
      <c r="C10" t="s">
        <v>140</v>
      </c>
      <c r="D10" t="s">
        <v>32</v>
      </c>
      <c r="E10" t="s">
        <v>25</v>
      </c>
    </row>
    <row r="11" spans="1:5" x14ac:dyDescent="0.4">
      <c r="A11" t="s">
        <v>108</v>
      </c>
      <c r="B11" t="s">
        <v>103</v>
      </c>
      <c r="C11" t="s">
        <v>105</v>
      </c>
      <c r="D11" t="s">
        <v>32</v>
      </c>
      <c r="E11" t="s">
        <v>25</v>
      </c>
    </row>
    <row r="12" spans="1:5" x14ac:dyDescent="0.4">
      <c r="A12" t="s">
        <v>109</v>
      </c>
      <c r="B12" t="s">
        <v>104</v>
      </c>
      <c r="C12" t="s">
        <v>199</v>
      </c>
      <c r="D12" t="s">
        <v>32</v>
      </c>
      <c r="E12" t="s">
        <v>25</v>
      </c>
    </row>
    <row r="13" spans="1:5" x14ac:dyDescent="0.4">
      <c r="A13" t="s">
        <v>110</v>
      </c>
      <c r="B13" t="s">
        <v>106</v>
      </c>
      <c r="C13" s="3" t="s">
        <v>107</v>
      </c>
      <c r="D13" t="s">
        <v>32</v>
      </c>
      <c r="E13" t="s">
        <v>25</v>
      </c>
    </row>
    <row r="14" spans="1:5" x14ac:dyDescent="0.4">
      <c r="A14" t="s">
        <v>111</v>
      </c>
      <c r="B14" t="s">
        <v>119</v>
      </c>
      <c r="C14" t="s">
        <v>120</v>
      </c>
      <c r="D14" t="s">
        <v>121</v>
      </c>
      <c r="E14" t="s">
        <v>25</v>
      </c>
    </row>
    <row r="15" spans="1:5" x14ac:dyDescent="0.4">
      <c r="A15" t="s">
        <v>112</v>
      </c>
      <c r="B15" t="s">
        <v>203</v>
      </c>
      <c r="C15" t="s">
        <v>122</v>
      </c>
      <c r="D15" t="s">
        <v>121</v>
      </c>
      <c r="E15" t="s">
        <v>25</v>
      </c>
    </row>
    <row r="16" spans="1:5" x14ac:dyDescent="0.4">
      <c r="A16" t="s">
        <v>113</v>
      </c>
      <c r="B16" t="s">
        <v>204</v>
      </c>
      <c r="C16" t="s">
        <v>123</v>
      </c>
      <c r="D16" t="s">
        <v>121</v>
      </c>
      <c r="E16" t="s">
        <v>25</v>
      </c>
    </row>
    <row r="17" spans="1:5" x14ac:dyDescent="0.4">
      <c r="A17" t="s">
        <v>114</v>
      </c>
      <c r="B17" t="s">
        <v>124</v>
      </c>
      <c r="C17" t="s">
        <v>125</v>
      </c>
      <c r="D17" t="s">
        <v>121</v>
      </c>
      <c r="E17" t="s">
        <v>25</v>
      </c>
    </row>
    <row r="18" spans="1:5" x14ac:dyDescent="0.4">
      <c r="A18" t="s">
        <v>115</v>
      </c>
      <c r="B18" t="s">
        <v>126</v>
      </c>
      <c r="C18" s="3" t="s">
        <v>200</v>
      </c>
      <c r="D18" t="s">
        <v>121</v>
      </c>
      <c r="E18" t="s">
        <v>25</v>
      </c>
    </row>
    <row r="19" spans="1:5" x14ac:dyDescent="0.4">
      <c r="A19" t="s">
        <v>116</v>
      </c>
      <c r="B19" t="s">
        <v>127</v>
      </c>
      <c r="C19" t="s">
        <v>128</v>
      </c>
      <c r="D19" t="s">
        <v>121</v>
      </c>
      <c r="E19" t="s">
        <v>25</v>
      </c>
    </row>
    <row r="20" spans="1:5" x14ac:dyDescent="0.4">
      <c r="A20" t="s">
        <v>117</v>
      </c>
      <c r="B20" t="s">
        <v>129</v>
      </c>
      <c r="C20" t="s">
        <v>130</v>
      </c>
      <c r="D20" t="s">
        <v>121</v>
      </c>
      <c r="E20" t="s">
        <v>25</v>
      </c>
    </row>
    <row r="21" spans="1:5" x14ac:dyDescent="0.4">
      <c r="A21" t="s">
        <v>118</v>
      </c>
      <c r="B21" t="s">
        <v>202</v>
      </c>
      <c r="C21" s="3" t="s">
        <v>133</v>
      </c>
      <c r="D21" t="s">
        <v>121</v>
      </c>
      <c r="E21" t="s">
        <v>25</v>
      </c>
    </row>
    <row r="22" spans="1:5" x14ac:dyDescent="0.4">
      <c r="A22" t="s">
        <v>132</v>
      </c>
      <c r="B22" t="s">
        <v>183</v>
      </c>
      <c r="C22" s="3" t="s">
        <v>134</v>
      </c>
      <c r="D22" t="s">
        <v>121</v>
      </c>
      <c r="E22" t="s">
        <v>25</v>
      </c>
    </row>
    <row r="23" spans="1:5" x14ac:dyDescent="0.4">
      <c r="A23" t="s">
        <v>136</v>
      </c>
      <c r="B23" t="s">
        <v>141</v>
      </c>
      <c r="C23" s="3" t="s">
        <v>141</v>
      </c>
      <c r="D23" t="s">
        <v>141</v>
      </c>
      <c r="E23" t="s">
        <v>142</v>
      </c>
    </row>
    <row r="24" spans="1:5" x14ac:dyDescent="0.4">
      <c r="A24" t="s">
        <v>174</v>
      </c>
      <c r="B24" t="s">
        <v>175</v>
      </c>
      <c r="C24" s="3" t="s">
        <v>176</v>
      </c>
      <c r="D24" t="s">
        <v>121</v>
      </c>
      <c r="E24" t="s">
        <v>142</v>
      </c>
    </row>
  </sheetData>
  <phoneticPr fontId="2" type="noConversion"/>
  <dataValidations count="1">
    <dataValidation type="list" sqref="E25:E100 E2:E22" xr:uid="{00000000-0002-0000-0100-000000000000}">
      <formula1>"Yes,No"</formula1>
    </dataValidation>
  </dataValidation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A6" sqref="A6"/>
    </sheetView>
  </sheetViews>
  <sheetFormatPr defaultRowHeight="17.399999999999999" x14ac:dyDescent="0.4"/>
  <cols>
    <col min="2" max="2" width="17.5" customWidth="1"/>
    <col min="4" max="4" width="14.5" bestFit="1" customWidth="1"/>
  </cols>
  <sheetData>
    <row r="1" spans="1:6" x14ac:dyDescent="0.4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23</v>
      </c>
    </row>
    <row r="2" spans="1:6" x14ac:dyDescent="0.4">
      <c r="A2" t="s">
        <v>43</v>
      </c>
      <c r="B2" t="s">
        <v>95</v>
      </c>
      <c r="C2" t="s">
        <v>143</v>
      </c>
      <c r="D2" t="s">
        <v>136</v>
      </c>
      <c r="E2" t="s">
        <v>94</v>
      </c>
      <c r="F2" t="s">
        <v>25</v>
      </c>
    </row>
    <row r="3" spans="1:6" x14ac:dyDescent="0.4">
      <c r="A3" t="s">
        <v>44</v>
      </c>
      <c r="B3" t="s">
        <v>96</v>
      </c>
      <c r="C3" t="s">
        <v>26</v>
      </c>
      <c r="D3" t="s">
        <v>136</v>
      </c>
      <c r="E3" t="s">
        <v>146</v>
      </c>
      <c r="F3" t="s">
        <v>25</v>
      </c>
    </row>
    <row r="4" spans="1:6" x14ac:dyDescent="0.4">
      <c r="A4" t="s">
        <v>46</v>
      </c>
      <c r="B4" t="s">
        <v>35</v>
      </c>
      <c r="C4" t="s">
        <v>27</v>
      </c>
      <c r="D4" t="s">
        <v>136</v>
      </c>
      <c r="E4" t="s">
        <v>146</v>
      </c>
      <c r="F4" t="s">
        <v>25</v>
      </c>
    </row>
    <row r="5" spans="1:6" x14ac:dyDescent="0.4">
      <c r="A5" t="s">
        <v>47</v>
      </c>
      <c r="B5" t="s">
        <v>97</v>
      </c>
      <c r="C5" t="s">
        <v>144</v>
      </c>
      <c r="D5" t="s">
        <v>136</v>
      </c>
      <c r="E5" t="s">
        <v>146</v>
      </c>
      <c r="F5" t="s">
        <v>25</v>
      </c>
    </row>
    <row r="6" spans="1:6" x14ac:dyDescent="0.4">
      <c r="A6" t="s">
        <v>48</v>
      </c>
      <c r="B6" t="s">
        <v>99</v>
      </c>
      <c r="C6" t="s">
        <v>29</v>
      </c>
      <c r="D6" t="s">
        <v>136</v>
      </c>
      <c r="E6" t="s">
        <v>94</v>
      </c>
      <c r="F6" t="s">
        <v>25</v>
      </c>
    </row>
    <row r="7" spans="1:6" x14ac:dyDescent="0.4">
      <c r="A7" t="s">
        <v>49</v>
      </c>
      <c r="B7" t="s">
        <v>160</v>
      </c>
      <c r="C7" t="s">
        <v>30</v>
      </c>
      <c r="D7" t="s">
        <v>145</v>
      </c>
      <c r="E7" t="s">
        <v>45</v>
      </c>
      <c r="F7" t="s">
        <v>25</v>
      </c>
    </row>
    <row r="8" spans="1:6" x14ac:dyDescent="0.4">
      <c r="A8" t="s">
        <v>88</v>
      </c>
      <c r="B8" t="s">
        <v>160</v>
      </c>
      <c r="C8" t="s">
        <v>147</v>
      </c>
      <c r="D8" t="s">
        <v>89</v>
      </c>
      <c r="E8" t="s">
        <v>161</v>
      </c>
      <c r="F8" t="s">
        <v>25</v>
      </c>
    </row>
    <row r="9" spans="1:6" x14ac:dyDescent="0.4">
      <c r="A9" t="s">
        <v>148</v>
      </c>
      <c r="B9" t="s">
        <v>159</v>
      </c>
      <c r="C9" t="s">
        <v>30</v>
      </c>
      <c r="D9" t="s">
        <v>108</v>
      </c>
      <c r="E9" t="s">
        <v>45</v>
      </c>
      <c r="F9" t="s">
        <v>25</v>
      </c>
    </row>
    <row r="10" spans="1:6" x14ac:dyDescent="0.4">
      <c r="A10" t="s">
        <v>149</v>
      </c>
      <c r="B10" t="s">
        <v>159</v>
      </c>
      <c r="C10" t="s">
        <v>147</v>
      </c>
      <c r="D10" t="s">
        <v>162</v>
      </c>
      <c r="E10" t="s">
        <v>45</v>
      </c>
      <c r="F10" t="s">
        <v>25</v>
      </c>
    </row>
    <row r="11" spans="1:6" x14ac:dyDescent="0.4">
      <c r="A11" t="s">
        <v>150</v>
      </c>
      <c r="B11" t="s">
        <v>164</v>
      </c>
      <c r="C11" t="s">
        <v>147</v>
      </c>
      <c r="D11" t="s">
        <v>163</v>
      </c>
      <c r="E11" t="s">
        <v>45</v>
      </c>
      <c r="F11" t="s">
        <v>25</v>
      </c>
    </row>
    <row r="12" spans="1:6" x14ac:dyDescent="0.4">
      <c r="A12" t="s">
        <v>151</v>
      </c>
      <c r="B12" t="s">
        <v>167</v>
      </c>
      <c r="C12" t="s">
        <v>165</v>
      </c>
      <c r="D12" t="s">
        <v>166</v>
      </c>
      <c r="E12" t="s">
        <v>121</v>
      </c>
      <c r="F12" t="s">
        <v>25</v>
      </c>
    </row>
    <row r="13" spans="1:6" x14ac:dyDescent="0.4">
      <c r="A13" t="s">
        <v>152</v>
      </c>
      <c r="B13" t="s">
        <v>168</v>
      </c>
      <c r="C13" t="s">
        <v>165</v>
      </c>
      <c r="D13" t="s">
        <v>169</v>
      </c>
      <c r="E13" t="s">
        <v>121</v>
      </c>
      <c r="F13" t="s">
        <v>25</v>
      </c>
    </row>
    <row r="14" spans="1:6" x14ac:dyDescent="0.4">
      <c r="A14" t="s">
        <v>153</v>
      </c>
      <c r="B14" t="s">
        <v>170</v>
      </c>
      <c r="C14" t="s">
        <v>171</v>
      </c>
      <c r="D14" t="s">
        <v>172</v>
      </c>
      <c r="E14" t="s">
        <v>121</v>
      </c>
      <c r="F14" t="s">
        <v>25</v>
      </c>
    </row>
    <row r="15" spans="1:6" x14ac:dyDescent="0.4">
      <c r="A15" t="s">
        <v>154</v>
      </c>
      <c r="B15" t="s">
        <v>177</v>
      </c>
      <c r="C15" t="s">
        <v>178</v>
      </c>
      <c r="D15" t="s">
        <v>174</v>
      </c>
      <c r="E15" t="s">
        <v>121</v>
      </c>
      <c r="F15" t="s">
        <v>25</v>
      </c>
    </row>
    <row r="16" spans="1:6" x14ac:dyDescent="0.4">
      <c r="A16" t="s">
        <v>155</v>
      </c>
      <c r="B16" t="s">
        <v>179</v>
      </c>
      <c r="C16" t="s">
        <v>171</v>
      </c>
      <c r="D16" t="s">
        <v>180</v>
      </c>
      <c r="E16" t="s">
        <v>121</v>
      </c>
      <c r="F16" t="s">
        <v>25</v>
      </c>
    </row>
    <row r="17" spans="1:6" x14ac:dyDescent="0.4">
      <c r="A17" t="s">
        <v>156</v>
      </c>
      <c r="B17" t="s">
        <v>181</v>
      </c>
      <c r="C17" t="s">
        <v>182</v>
      </c>
      <c r="D17" t="s">
        <v>174</v>
      </c>
      <c r="E17" t="s">
        <v>121</v>
      </c>
      <c r="F17" t="s">
        <v>25</v>
      </c>
    </row>
    <row r="18" spans="1:6" x14ac:dyDescent="0.4">
      <c r="A18" t="s">
        <v>157</v>
      </c>
      <c r="B18" t="s">
        <v>183</v>
      </c>
      <c r="C18" t="s">
        <v>132</v>
      </c>
      <c r="D18" t="s">
        <v>174</v>
      </c>
      <c r="E18" t="s">
        <v>121</v>
      </c>
      <c r="F18" t="s">
        <v>25</v>
      </c>
    </row>
    <row r="19" spans="1:6" x14ac:dyDescent="0.4">
      <c r="A19" t="s">
        <v>158</v>
      </c>
      <c r="B19" t="s">
        <v>184</v>
      </c>
      <c r="C19" t="s">
        <v>147</v>
      </c>
      <c r="D19" t="s">
        <v>136</v>
      </c>
      <c r="E19" t="s">
        <v>184</v>
      </c>
      <c r="F19" t="s">
        <v>25</v>
      </c>
    </row>
  </sheetData>
  <phoneticPr fontId="2" type="noConversion"/>
  <dataValidations count="1">
    <dataValidation type="list" sqref="F2:F100" xr:uid="{00000000-0002-0000-0200-000000000000}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topLeftCell="A13" workbookViewId="0">
      <selection activeCell="E5" sqref="E5"/>
    </sheetView>
  </sheetViews>
  <sheetFormatPr defaultRowHeight="17.399999999999999" x14ac:dyDescent="0.4"/>
  <cols>
    <col min="2" max="2" width="15.3984375" customWidth="1"/>
    <col min="5" max="5" width="14.09765625" customWidth="1"/>
    <col min="6" max="7" width="14.59765625" customWidth="1"/>
    <col min="8" max="8" width="16.69921875" customWidth="1"/>
  </cols>
  <sheetData>
    <row r="1" spans="1:9" x14ac:dyDescent="0.4">
      <c r="A1" s="1" t="s">
        <v>50</v>
      </c>
      <c r="B1" s="1" t="s">
        <v>51</v>
      </c>
      <c r="C1" s="1" t="s">
        <v>38</v>
      </c>
      <c r="D1" s="1" t="s">
        <v>52</v>
      </c>
      <c r="E1" s="1" t="s">
        <v>53</v>
      </c>
      <c r="F1" s="1" t="s">
        <v>91</v>
      </c>
      <c r="G1" s="1" t="s">
        <v>92</v>
      </c>
      <c r="H1" s="1" t="s">
        <v>54</v>
      </c>
      <c r="I1" s="1" t="s">
        <v>55</v>
      </c>
    </row>
    <row r="2" spans="1:9" x14ac:dyDescent="0.4">
      <c r="A2" t="s">
        <v>56</v>
      </c>
      <c r="B2" s="2">
        <v>45930</v>
      </c>
      <c r="C2" t="s">
        <v>43</v>
      </c>
      <c r="D2">
        <v>0</v>
      </c>
      <c r="E2">
        <v>1</v>
      </c>
      <c r="F2" s="2">
        <v>45930</v>
      </c>
      <c r="I2" t="s">
        <v>23</v>
      </c>
    </row>
    <row r="3" spans="1:9" x14ac:dyDescent="0.4">
      <c r="A3" t="s">
        <v>57</v>
      </c>
      <c r="B3" s="2">
        <v>45930</v>
      </c>
      <c r="C3" t="s">
        <v>44</v>
      </c>
      <c r="D3">
        <v>0</v>
      </c>
      <c r="E3">
        <v>1</v>
      </c>
      <c r="F3" s="2">
        <v>45930</v>
      </c>
      <c r="I3" t="s">
        <v>23</v>
      </c>
    </row>
    <row r="4" spans="1:9" x14ac:dyDescent="0.4">
      <c r="A4" t="s">
        <v>58</v>
      </c>
      <c r="B4" s="2">
        <v>45930</v>
      </c>
      <c r="C4" t="s">
        <v>46</v>
      </c>
      <c r="D4">
        <v>0</v>
      </c>
      <c r="E4">
        <v>1</v>
      </c>
      <c r="F4" s="2">
        <v>45930</v>
      </c>
      <c r="I4" t="s">
        <v>23</v>
      </c>
    </row>
    <row r="5" spans="1:9" x14ac:dyDescent="0.4">
      <c r="A5" t="s">
        <v>59</v>
      </c>
      <c r="B5" s="2">
        <v>45930</v>
      </c>
      <c r="C5" t="s">
        <v>47</v>
      </c>
      <c r="D5">
        <v>0</v>
      </c>
      <c r="E5">
        <v>1</v>
      </c>
      <c r="F5" s="2">
        <v>45930</v>
      </c>
      <c r="I5" t="s">
        <v>23</v>
      </c>
    </row>
    <row r="6" spans="1:9" x14ac:dyDescent="0.4">
      <c r="A6" t="s">
        <v>60</v>
      </c>
      <c r="B6" s="2">
        <v>45930</v>
      </c>
      <c r="C6" t="s">
        <v>48</v>
      </c>
      <c r="D6">
        <v>0</v>
      </c>
      <c r="E6">
        <v>1</v>
      </c>
      <c r="F6" s="2">
        <v>45930</v>
      </c>
      <c r="I6" t="s">
        <v>23</v>
      </c>
    </row>
    <row r="7" spans="1:9" x14ac:dyDescent="0.4">
      <c r="A7" t="s">
        <v>61</v>
      </c>
      <c r="B7" s="2">
        <v>45930</v>
      </c>
      <c r="C7" t="s">
        <v>49</v>
      </c>
      <c r="D7">
        <v>0</v>
      </c>
      <c r="E7">
        <v>1</v>
      </c>
      <c r="F7" s="2">
        <v>45930</v>
      </c>
      <c r="I7" t="s">
        <v>23</v>
      </c>
    </row>
    <row r="8" spans="1:9" x14ac:dyDescent="0.4">
      <c r="A8" t="s">
        <v>90</v>
      </c>
      <c r="B8" s="2">
        <v>45930</v>
      </c>
      <c r="C8" t="s">
        <v>185</v>
      </c>
      <c r="D8">
        <v>0</v>
      </c>
      <c r="E8">
        <v>1</v>
      </c>
      <c r="F8" s="2">
        <v>45930</v>
      </c>
      <c r="G8" s="2"/>
      <c r="I8" t="s">
        <v>23</v>
      </c>
    </row>
    <row r="9" spans="1:9" x14ac:dyDescent="0.4">
      <c r="A9" t="s">
        <v>186</v>
      </c>
      <c r="B9" s="2">
        <v>45930</v>
      </c>
      <c r="C9" t="s">
        <v>148</v>
      </c>
      <c r="D9">
        <v>0</v>
      </c>
      <c r="E9">
        <v>1</v>
      </c>
      <c r="F9" s="2">
        <v>45930</v>
      </c>
      <c r="I9" t="s">
        <v>23</v>
      </c>
    </row>
    <row r="10" spans="1:9" x14ac:dyDescent="0.4">
      <c r="A10" t="s">
        <v>187</v>
      </c>
      <c r="B10" s="2">
        <v>45930</v>
      </c>
      <c r="C10" t="s">
        <v>149</v>
      </c>
      <c r="D10">
        <v>0</v>
      </c>
      <c r="E10">
        <v>1</v>
      </c>
      <c r="F10" s="2">
        <v>45930</v>
      </c>
      <c r="I10" t="s">
        <v>23</v>
      </c>
    </row>
    <row r="11" spans="1:9" x14ac:dyDescent="0.4">
      <c r="A11" t="s">
        <v>188</v>
      </c>
      <c r="B11" s="2">
        <v>45930</v>
      </c>
      <c r="C11" t="s">
        <v>150</v>
      </c>
      <c r="D11">
        <v>0</v>
      </c>
      <c r="E11">
        <v>1</v>
      </c>
      <c r="F11" s="2">
        <v>45930</v>
      </c>
      <c r="I11" t="s">
        <v>23</v>
      </c>
    </row>
    <row r="12" spans="1:9" x14ac:dyDescent="0.4">
      <c r="A12" t="s">
        <v>189</v>
      </c>
      <c r="B12" s="2">
        <v>45930</v>
      </c>
      <c r="C12" t="s">
        <v>151</v>
      </c>
      <c r="D12">
        <v>0</v>
      </c>
      <c r="E12">
        <v>1</v>
      </c>
      <c r="F12" s="2">
        <v>45930</v>
      </c>
      <c r="I12" t="s">
        <v>23</v>
      </c>
    </row>
    <row r="13" spans="1:9" x14ac:dyDescent="0.4">
      <c r="A13" t="s">
        <v>190</v>
      </c>
      <c r="B13" s="2">
        <v>45930</v>
      </c>
      <c r="C13" t="s">
        <v>152</v>
      </c>
      <c r="D13">
        <v>0</v>
      </c>
      <c r="E13">
        <v>1</v>
      </c>
      <c r="F13" s="2">
        <v>45930</v>
      </c>
      <c r="I13" t="s">
        <v>23</v>
      </c>
    </row>
    <row r="14" spans="1:9" x14ac:dyDescent="0.4">
      <c r="A14" t="s">
        <v>191</v>
      </c>
      <c r="B14" s="2">
        <v>45930</v>
      </c>
      <c r="C14" t="s">
        <v>153</v>
      </c>
      <c r="D14">
        <v>2</v>
      </c>
      <c r="E14">
        <v>1</v>
      </c>
      <c r="F14" s="2">
        <v>45930</v>
      </c>
      <c r="I14" t="s">
        <v>23</v>
      </c>
    </row>
    <row r="15" spans="1:9" x14ac:dyDescent="0.4">
      <c r="A15" t="s">
        <v>192</v>
      </c>
      <c r="B15" s="2">
        <v>45930</v>
      </c>
      <c r="C15" t="s">
        <v>154</v>
      </c>
      <c r="D15">
        <v>0</v>
      </c>
      <c r="E15">
        <v>1</v>
      </c>
      <c r="F15" s="2">
        <v>45930</v>
      </c>
      <c r="I15" t="s">
        <v>23</v>
      </c>
    </row>
    <row r="16" spans="1:9" x14ac:dyDescent="0.4">
      <c r="A16" t="s">
        <v>193</v>
      </c>
      <c r="B16" s="2">
        <v>45930</v>
      </c>
      <c r="C16" t="s">
        <v>155</v>
      </c>
      <c r="D16">
        <v>0</v>
      </c>
      <c r="E16">
        <v>1</v>
      </c>
      <c r="F16" s="2">
        <v>45930</v>
      </c>
      <c r="I16" t="s">
        <v>23</v>
      </c>
    </row>
    <row r="17" spans="1:9" x14ac:dyDescent="0.4">
      <c r="A17" t="s">
        <v>194</v>
      </c>
      <c r="B17" s="2">
        <v>45930</v>
      </c>
      <c r="C17" t="s">
        <v>156</v>
      </c>
      <c r="D17">
        <v>0</v>
      </c>
      <c r="E17">
        <v>1</v>
      </c>
      <c r="F17" s="2">
        <v>45930</v>
      </c>
      <c r="I17" t="s">
        <v>23</v>
      </c>
    </row>
    <row r="18" spans="1:9" x14ac:dyDescent="0.4">
      <c r="A18" t="s">
        <v>195</v>
      </c>
      <c r="B18" s="2">
        <v>45930</v>
      </c>
      <c r="C18" t="s">
        <v>157</v>
      </c>
      <c r="D18">
        <v>0</v>
      </c>
      <c r="E18">
        <v>1</v>
      </c>
      <c r="F18" s="2">
        <v>45930</v>
      </c>
      <c r="I18" t="s">
        <v>23</v>
      </c>
    </row>
    <row r="19" spans="1:9" x14ac:dyDescent="0.4">
      <c r="A19" t="s">
        <v>196</v>
      </c>
      <c r="B19" s="2">
        <v>45930</v>
      </c>
      <c r="C19" t="s">
        <v>158</v>
      </c>
      <c r="D19">
        <v>0</v>
      </c>
      <c r="E19">
        <v>1</v>
      </c>
      <c r="F19" s="2">
        <v>45930</v>
      </c>
      <c r="I19" t="s">
        <v>23</v>
      </c>
    </row>
  </sheetData>
  <phoneticPr fontId="2" type="noConversion"/>
  <dataValidations count="2">
    <dataValidation type="list" sqref="D2:D100" xr:uid="{00000000-0002-0000-0300-000000000000}">
      <formula1>"-1,0,1"</formula1>
    </dataValidation>
    <dataValidation type="list" sqref="I2:I100" xr:uid="{00000000-0002-0000-0300-000001000000}">
      <formula1>"Active,Expired,Pending"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topLeftCell="A11" workbookViewId="0">
      <selection activeCell="D24" sqref="D24"/>
    </sheetView>
  </sheetViews>
  <sheetFormatPr defaultRowHeight="17.399999999999999" x14ac:dyDescent="0.4"/>
  <sheetData>
    <row r="1" spans="1:4" x14ac:dyDescent="0.4">
      <c r="A1" s="1" t="s">
        <v>20</v>
      </c>
      <c r="B1" s="1" t="s">
        <v>62</v>
      </c>
      <c r="C1" s="1" t="s">
        <v>63</v>
      </c>
      <c r="D1" s="1" t="s">
        <v>23</v>
      </c>
    </row>
    <row r="2" spans="1:4" x14ac:dyDescent="0.4">
      <c r="A2" t="s">
        <v>24</v>
      </c>
      <c r="B2">
        <v>0</v>
      </c>
      <c r="C2">
        <v>0.25</v>
      </c>
      <c r="D2" t="s">
        <v>25</v>
      </c>
    </row>
    <row r="3" spans="1:4" x14ac:dyDescent="0.4">
      <c r="A3" t="s">
        <v>26</v>
      </c>
      <c r="B3">
        <v>0</v>
      </c>
      <c r="C3">
        <v>0.25</v>
      </c>
      <c r="D3" t="s">
        <v>25</v>
      </c>
    </row>
    <row r="4" spans="1:4" x14ac:dyDescent="0.4">
      <c r="A4" t="s">
        <v>27</v>
      </c>
      <c r="B4">
        <v>0</v>
      </c>
      <c r="C4">
        <v>0.25</v>
      </c>
      <c r="D4" t="s">
        <v>25</v>
      </c>
    </row>
    <row r="5" spans="1:4" x14ac:dyDescent="0.4">
      <c r="A5" t="s">
        <v>28</v>
      </c>
      <c r="B5">
        <v>0</v>
      </c>
      <c r="C5">
        <v>0.25</v>
      </c>
      <c r="D5" t="s">
        <v>25</v>
      </c>
    </row>
    <row r="6" spans="1:4" x14ac:dyDescent="0.4">
      <c r="A6" t="s">
        <v>29</v>
      </c>
      <c r="B6">
        <v>0</v>
      </c>
      <c r="C6">
        <v>0.25</v>
      </c>
      <c r="D6" t="s">
        <v>25</v>
      </c>
    </row>
    <row r="7" spans="1:4" x14ac:dyDescent="0.4">
      <c r="A7" t="s">
        <v>30</v>
      </c>
      <c r="B7">
        <v>0</v>
      </c>
      <c r="C7">
        <v>0.25</v>
      </c>
      <c r="D7" t="s">
        <v>25</v>
      </c>
    </row>
    <row r="8" spans="1:4" x14ac:dyDescent="0.4">
      <c r="A8" t="s">
        <v>31</v>
      </c>
      <c r="B8">
        <v>0</v>
      </c>
      <c r="C8">
        <v>0.25</v>
      </c>
      <c r="D8" t="s">
        <v>25</v>
      </c>
    </row>
    <row r="9" spans="1:4" x14ac:dyDescent="0.4">
      <c r="A9" t="s">
        <v>33</v>
      </c>
      <c r="B9">
        <v>0</v>
      </c>
      <c r="C9">
        <v>0.25</v>
      </c>
      <c r="D9" t="s">
        <v>25</v>
      </c>
    </row>
    <row r="10" spans="1:4" x14ac:dyDescent="0.4">
      <c r="A10" t="s">
        <v>34</v>
      </c>
      <c r="B10">
        <v>0</v>
      </c>
      <c r="C10">
        <v>0.25</v>
      </c>
      <c r="D10" t="s">
        <v>25</v>
      </c>
    </row>
    <row r="11" spans="1:4" x14ac:dyDescent="0.4">
      <c r="A11" t="s">
        <v>37</v>
      </c>
      <c r="B11">
        <v>0</v>
      </c>
      <c r="C11">
        <v>0.25</v>
      </c>
      <c r="D11" t="s">
        <v>25</v>
      </c>
    </row>
    <row r="12" spans="1:4" x14ac:dyDescent="0.4">
      <c r="A12" t="s">
        <v>109</v>
      </c>
      <c r="B12">
        <v>0</v>
      </c>
      <c r="C12">
        <v>0.25</v>
      </c>
      <c r="D12" t="s">
        <v>25</v>
      </c>
    </row>
    <row r="13" spans="1:4" x14ac:dyDescent="0.4">
      <c r="A13" t="s">
        <v>110</v>
      </c>
      <c r="B13">
        <v>0</v>
      </c>
      <c r="C13">
        <v>0.25</v>
      </c>
      <c r="D13" t="s">
        <v>25</v>
      </c>
    </row>
    <row r="14" spans="1:4" x14ac:dyDescent="0.4">
      <c r="A14" t="s">
        <v>111</v>
      </c>
      <c r="B14">
        <v>0</v>
      </c>
      <c r="C14">
        <v>0.25</v>
      </c>
      <c r="D14" t="s">
        <v>25</v>
      </c>
    </row>
    <row r="15" spans="1:4" x14ac:dyDescent="0.4">
      <c r="A15" t="s">
        <v>112</v>
      </c>
      <c r="B15">
        <v>0</v>
      </c>
      <c r="C15">
        <v>0.25</v>
      </c>
      <c r="D15" t="s">
        <v>25</v>
      </c>
    </row>
    <row r="16" spans="1:4" x14ac:dyDescent="0.4">
      <c r="A16" t="s">
        <v>113</v>
      </c>
      <c r="B16">
        <v>0</v>
      </c>
      <c r="C16">
        <v>0.25</v>
      </c>
      <c r="D16" t="s">
        <v>25</v>
      </c>
    </row>
    <row r="17" spans="1:4" x14ac:dyDescent="0.4">
      <c r="A17" t="s">
        <v>114</v>
      </c>
      <c r="B17">
        <v>0</v>
      </c>
      <c r="C17">
        <v>0.25</v>
      </c>
      <c r="D17" t="s">
        <v>25</v>
      </c>
    </row>
    <row r="18" spans="1:4" x14ac:dyDescent="0.4">
      <c r="A18" t="s">
        <v>115</v>
      </c>
      <c r="B18">
        <v>0</v>
      </c>
      <c r="C18">
        <v>0.25</v>
      </c>
      <c r="D18" t="s">
        <v>25</v>
      </c>
    </row>
    <row r="19" spans="1:4" x14ac:dyDescent="0.4">
      <c r="A19" t="s">
        <v>116</v>
      </c>
      <c r="B19">
        <v>0</v>
      </c>
      <c r="C19">
        <v>0.25</v>
      </c>
      <c r="D19" t="s">
        <v>25</v>
      </c>
    </row>
    <row r="20" spans="1:4" x14ac:dyDescent="0.4">
      <c r="A20" t="s">
        <v>117</v>
      </c>
      <c r="B20">
        <v>0</v>
      </c>
      <c r="C20">
        <v>0.25</v>
      </c>
      <c r="D20" t="s">
        <v>25</v>
      </c>
    </row>
    <row r="21" spans="1:4" x14ac:dyDescent="0.4">
      <c r="A21" t="s">
        <v>118</v>
      </c>
      <c r="B21">
        <v>0</v>
      </c>
      <c r="C21">
        <v>0.25</v>
      </c>
      <c r="D21" t="s">
        <v>25</v>
      </c>
    </row>
    <row r="22" spans="1:4" x14ac:dyDescent="0.4">
      <c r="A22" t="s">
        <v>131</v>
      </c>
      <c r="B22">
        <v>0</v>
      </c>
      <c r="C22">
        <v>0.25</v>
      </c>
      <c r="D22" t="s">
        <v>25</v>
      </c>
    </row>
    <row r="23" spans="1:4" x14ac:dyDescent="0.4">
      <c r="A23" t="s">
        <v>135</v>
      </c>
      <c r="B23">
        <v>0</v>
      </c>
      <c r="C23">
        <v>0.25</v>
      </c>
      <c r="D23" t="s">
        <v>25</v>
      </c>
    </row>
    <row r="24" spans="1:4" x14ac:dyDescent="0.4">
      <c r="A24" t="s">
        <v>173</v>
      </c>
      <c r="B24">
        <v>0</v>
      </c>
      <c r="C24">
        <v>0.25</v>
      </c>
      <c r="D24" t="s">
        <v>25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selection activeCell="L5" sqref="L5"/>
    </sheetView>
  </sheetViews>
  <sheetFormatPr defaultRowHeight="17.399999999999999" x14ac:dyDescent="0.4"/>
  <cols>
    <col min="1" max="1" width="19.69921875" bestFit="1" customWidth="1"/>
    <col min="2" max="2" width="10.69921875" bestFit="1" customWidth="1"/>
  </cols>
  <sheetData>
    <row r="1" spans="1:3" x14ac:dyDescent="0.4">
      <c r="A1" s="1" t="s">
        <v>64</v>
      </c>
      <c r="B1" s="1" t="s">
        <v>65</v>
      </c>
      <c r="C1" s="1" t="s">
        <v>66</v>
      </c>
    </row>
    <row r="2" spans="1:3" x14ac:dyDescent="0.4">
      <c r="A2" t="s">
        <v>67</v>
      </c>
      <c r="B2">
        <v>0.1</v>
      </c>
      <c r="C2" t="s">
        <v>68</v>
      </c>
    </row>
    <row r="3" spans="1:3" x14ac:dyDescent="0.4">
      <c r="A3" t="s">
        <v>69</v>
      </c>
      <c r="B3">
        <v>1E-3</v>
      </c>
      <c r="C3" t="s">
        <v>70</v>
      </c>
    </row>
    <row r="4" spans="1:3" x14ac:dyDescent="0.4">
      <c r="A4" t="s">
        <v>71</v>
      </c>
      <c r="B4">
        <v>0.08</v>
      </c>
      <c r="C4" t="s">
        <v>72</v>
      </c>
    </row>
    <row r="5" spans="1:3" x14ac:dyDescent="0.4">
      <c r="A5" t="s">
        <v>73</v>
      </c>
      <c r="B5">
        <v>0.4</v>
      </c>
      <c r="C5" t="s">
        <v>74</v>
      </c>
    </row>
    <row r="6" spans="1:3" x14ac:dyDescent="0.4">
      <c r="A6" t="s">
        <v>75</v>
      </c>
      <c r="B6">
        <v>0.35</v>
      </c>
      <c r="C6" t="s">
        <v>76</v>
      </c>
    </row>
    <row r="7" spans="1:3" x14ac:dyDescent="0.4">
      <c r="A7" t="s">
        <v>77</v>
      </c>
      <c r="B7">
        <v>60</v>
      </c>
      <c r="C7" t="s">
        <v>78</v>
      </c>
    </row>
    <row r="8" spans="1:3" x14ac:dyDescent="0.4">
      <c r="A8" t="s">
        <v>79</v>
      </c>
      <c r="B8">
        <v>252</v>
      </c>
      <c r="C8" t="s">
        <v>80</v>
      </c>
    </row>
    <row r="9" spans="1:3" x14ac:dyDescent="0.4">
      <c r="A9" t="s">
        <v>81</v>
      </c>
      <c r="B9" t="s">
        <v>82</v>
      </c>
      <c r="C9" t="s">
        <v>83</v>
      </c>
    </row>
    <row r="10" spans="1:3" x14ac:dyDescent="0.4">
      <c r="A10" t="s">
        <v>84</v>
      </c>
      <c r="B10" t="s">
        <v>85</v>
      </c>
      <c r="C10" t="s">
        <v>86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topLeftCell="A11" workbookViewId="0">
      <selection activeCell="L20" sqref="L20"/>
    </sheetView>
  </sheetViews>
  <sheetFormatPr defaultRowHeight="17.399999999999999" x14ac:dyDescent="0.4"/>
  <cols>
    <col min="1" max="1" width="10.8984375" bestFit="1" customWidth="1"/>
  </cols>
  <sheetData>
    <row r="1" spans="1:3" x14ac:dyDescent="0.4">
      <c r="A1" s="1" t="s">
        <v>51</v>
      </c>
      <c r="B1" s="1" t="s">
        <v>20</v>
      </c>
      <c r="C1" s="1" t="s">
        <v>87</v>
      </c>
    </row>
    <row r="2" spans="1:3" x14ac:dyDescent="0.4">
      <c r="A2" s="2">
        <v>45930</v>
      </c>
      <c r="B2" t="s">
        <v>24</v>
      </c>
      <c r="C2">
        <v>0</v>
      </c>
    </row>
    <row r="3" spans="1:3" x14ac:dyDescent="0.4">
      <c r="A3" s="2">
        <v>45930</v>
      </c>
      <c r="B3" t="s">
        <v>26</v>
      </c>
      <c r="C3">
        <v>0</v>
      </c>
    </row>
    <row r="4" spans="1:3" x14ac:dyDescent="0.4">
      <c r="A4" s="2">
        <v>45930</v>
      </c>
      <c r="B4" t="s">
        <v>27</v>
      </c>
      <c r="C4">
        <v>0</v>
      </c>
    </row>
    <row r="5" spans="1:3" x14ac:dyDescent="0.4">
      <c r="A5" s="2">
        <v>45930</v>
      </c>
      <c r="B5" t="s">
        <v>28</v>
      </c>
      <c r="C5">
        <v>0</v>
      </c>
    </row>
    <row r="6" spans="1:3" x14ac:dyDescent="0.4">
      <c r="A6" s="2">
        <v>45930</v>
      </c>
      <c r="B6" t="s">
        <v>29</v>
      </c>
      <c r="C6">
        <v>0</v>
      </c>
    </row>
    <row r="7" spans="1:3" x14ac:dyDescent="0.4">
      <c r="A7" s="2">
        <v>45930</v>
      </c>
      <c r="B7" t="s">
        <v>30</v>
      </c>
      <c r="C7">
        <v>0</v>
      </c>
    </row>
    <row r="8" spans="1:3" x14ac:dyDescent="0.4">
      <c r="A8" s="2">
        <v>45930</v>
      </c>
      <c r="B8" t="s">
        <v>31</v>
      </c>
      <c r="C8">
        <v>0</v>
      </c>
    </row>
    <row r="9" spans="1:3" x14ac:dyDescent="0.4">
      <c r="A9" s="2">
        <v>45930</v>
      </c>
      <c r="B9" t="s">
        <v>33</v>
      </c>
      <c r="C9">
        <v>0</v>
      </c>
    </row>
    <row r="10" spans="1:3" x14ac:dyDescent="0.4">
      <c r="A10" s="2">
        <v>45930</v>
      </c>
      <c r="B10" t="s">
        <v>34</v>
      </c>
      <c r="C10">
        <v>0</v>
      </c>
    </row>
    <row r="11" spans="1:3" x14ac:dyDescent="0.4">
      <c r="A11" s="2">
        <v>45930</v>
      </c>
      <c r="B11" t="s">
        <v>37</v>
      </c>
      <c r="C11">
        <v>0</v>
      </c>
    </row>
    <row r="12" spans="1:3" x14ac:dyDescent="0.4">
      <c r="A12" s="2">
        <v>45930</v>
      </c>
      <c r="B12" t="s">
        <v>109</v>
      </c>
      <c r="C12">
        <v>0</v>
      </c>
    </row>
    <row r="13" spans="1:3" x14ac:dyDescent="0.4">
      <c r="A13" s="2">
        <v>45930</v>
      </c>
      <c r="B13" t="s">
        <v>110</v>
      </c>
      <c r="C13">
        <v>0</v>
      </c>
    </row>
    <row r="14" spans="1:3" x14ac:dyDescent="0.4">
      <c r="A14" s="2">
        <v>45930</v>
      </c>
      <c r="B14" t="s">
        <v>111</v>
      </c>
      <c r="C14">
        <v>0</v>
      </c>
    </row>
    <row r="15" spans="1:3" x14ac:dyDescent="0.4">
      <c r="A15" s="2">
        <v>45930</v>
      </c>
      <c r="B15" t="s">
        <v>112</v>
      </c>
      <c r="C15">
        <v>0</v>
      </c>
    </row>
    <row r="16" spans="1:3" x14ac:dyDescent="0.4">
      <c r="A16" s="2">
        <v>45930</v>
      </c>
      <c r="B16" t="s">
        <v>113</v>
      </c>
      <c r="C16">
        <v>0</v>
      </c>
    </row>
    <row r="17" spans="1:3" x14ac:dyDescent="0.4">
      <c r="A17" s="2">
        <v>45930</v>
      </c>
      <c r="B17" t="s">
        <v>114</v>
      </c>
      <c r="C17">
        <v>0</v>
      </c>
    </row>
    <row r="18" spans="1:3" x14ac:dyDescent="0.4">
      <c r="A18" s="2">
        <v>45930</v>
      </c>
      <c r="B18" t="s">
        <v>115</v>
      </c>
      <c r="C18">
        <v>0</v>
      </c>
    </row>
    <row r="19" spans="1:3" x14ac:dyDescent="0.4">
      <c r="A19" s="2">
        <v>45930</v>
      </c>
      <c r="B19" t="s">
        <v>116</v>
      </c>
      <c r="C19">
        <v>0</v>
      </c>
    </row>
    <row r="20" spans="1:3" x14ac:dyDescent="0.4">
      <c r="A20" s="2">
        <v>45930</v>
      </c>
      <c r="B20" t="s">
        <v>117</v>
      </c>
      <c r="C20">
        <v>0</v>
      </c>
    </row>
    <row r="21" spans="1:3" x14ac:dyDescent="0.4">
      <c r="A21" s="2">
        <v>45930</v>
      </c>
      <c r="B21" t="s">
        <v>118</v>
      </c>
      <c r="C21">
        <v>0</v>
      </c>
    </row>
    <row r="22" spans="1:3" x14ac:dyDescent="0.4">
      <c r="A22" s="2">
        <v>45930</v>
      </c>
      <c r="B22" t="s">
        <v>131</v>
      </c>
      <c r="C22">
        <v>0</v>
      </c>
    </row>
    <row r="23" spans="1:3" x14ac:dyDescent="0.4">
      <c r="A23" s="2">
        <v>45930</v>
      </c>
      <c r="B23" t="s">
        <v>135</v>
      </c>
      <c r="C23">
        <v>0</v>
      </c>
    </row>
    <row r="24" spans="1:3" x14ac:dyDescent="0.4">
      <c r="A24" s="2">
        <v>45930</v>
      </c>
      <c r="B24" t="s">
        <v>173</v>
      </c>
      <c r="C24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"/>
  <sheetViews>
    <sheetView tabSelected="1" workbookViewId="0">
      <selection activeCell="F6" sqref="F6"/>
    </sheetView>
  </sheetViews>
  <sheetFormatPr defaultRowHeight="17.399999999999999" x14ac:dyDescent="0.4"/>
  <cols>
    <col min="1" max="1" width="10.8984375" bestFit="1" customWidth="1"/>
    <col min="4" max="4" width="10.69921875" bestFit="1" customWidth="1"/>
    <col min="5" max="5" width="11.09765625" bestFit="1" customWidth="1"/>
    <col min="6" max="6" width="11.69921875" customWidth="1"/>
    <col min="7" max="7" width="15" bestFit="1" customWidth="1"/>
    <col min="8" max="8" width="15.3984375" bestFit="1" customWidth="1"/>
  </cols>
  <sheetData>
    <row r="1" spans="1:8" x14ac:dyDescent="0.4">
      <c r="A1" s="1" t="s">
        <v>51</v>
      </c>
      <c r="B1" s="1" t="s">
        <v>38</v>
      </c>
      <c r="C1" s="1" t="s">
        <v>205</v>
      </c>
      <c r="D1" s="1" t="s">
        <v>206</v>
      </c>
      <c r="E1" s="1" t="s">
        <v>207</v>
      </c>
      <c r="F1" s="1" t="s">
        <v>92</v>
      </c>
      <c r="G1" s="1" t="s">
        <v>208</v>
      </c>
      <c r="H1" s="1" t="s">
        <v>209</v>
      </c>
    </row>
    <row r="2" spans="1:8" x14ac:dyDescent="0.4">
      <c r="A2" s="2">
        <v>45972</v>
      </c>
      <c r="B2" t="s">
        <v>153</v>
      </c>
      <c r="C2">
        <v>2.9999999999999997E-4</v>
      </c>
      <c r="D2">
        <v>25664.850999999999</v>
      </c>
      <c r="E2">
        <v>47439.464599999999</v>
      </c>
    </row>
    <row r="3" spans="1:8" x14ac:dyDescent="0.4">
      <c r="A3" s="2">
        <v>45981</v>
      </c>
      <c r="B3" t="s">
        <v>120</v>
      </c>
      <c r="C3">
        <v>2.5000000000000001E-4</v>
      </c>
      <c r="D3">
        <v>6558.1</v>
      </c>
    </row>
    <row r="4" spans="1:8" x14ac:dyDescent="0.4">
      <c r="A4" s="2">
        <v>45986</v>
      </c>
      <c r="B4" t="s">
        <v>48</v>
      </c>
      <c r="C4">
        <v>1E-4</v>
      </c>
      <c r="D4">
        <v>6.3719430603168137E-3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Instructions</vt:lpstr>
      <vt:lpstr>Asset_Universe</vt:lpstr>
      <vt:lpstr>Pairs_Definition</vt:lpstr>
      <vt:lpstr>Views_Timeline</vt:lpstr>
      <vt:lpstr>Portfolio_Constraints</vt:lpstr>
      <vt:lpstr>Model_Config</vt:lpstr>
      <vt:lpstr>Benchmark_Weights</vt:lpstr>
      <vt:lpstr>Actual_port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CHANGWOO Choi</cp:lastModifiedBy>
  <dcterms:created xsi:type="dcterms:W3CDTF">2025-09-12T13:35:20Z</dcterms:created>
  <dcterms:modified xsi:type="dcterms:W3CDTF">2025-11-25T23:16:17Z</dcterms:modified>
</cp:coreProperties>
</file>